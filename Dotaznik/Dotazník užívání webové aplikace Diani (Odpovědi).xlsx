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lhouse\Documents\Scholla\___FEL\22rocnik\Diplomova práce\Dotaznik\"/>
    </mc:Choice>
  </mc:AlternateContent>
  <bookViews>
    <workbookView xWindow="0" yWindow="0" windowWidth="9615" windowHeight="5250" activeTab="1"/>
  </bookViews>
  <sheets>
    <sheet name="Odpovědi formuláře 1" sheetId="1" r:id="rId1"/>
    <sheet name="Vybrané otázky na parametry" sheetId="2" r:id="rId2"/>
  </sheets>
  <calcPr calcId="152511"/>
</workbook>
</file>

<file path=xl/calcChain.xml><?xml version="1.0" encoding="utf-8"?>
<calcChain xmlns="http://schemas.openxmlformats.org/spreadsheetml/2006/main">
  <c r="I8" i="2" l="1"/>
  <c r="J8" i="2"/>
  <c r="K8" i="2"/>
  <c r="L8" i="2"/>
  <c r="M8" i="2"/>
  <c r="H8" i="2"/>
  <c r="I10" i="2" l="1"/>
  <c r="J10" i="2"/>
  <c r="K10" i="2"/>
  <c r="L10" i="2"/>
  <c r="M10" i="2"/>
  <c r="H10" i="2"/>
  <c r="I7" i="2"/>
  <c r="J7" i="2"/>
  <c r="K7" i="2"/>
  <c r="L7" i="2"/>
  <c r="M7" i="2"/>
  <c r="H7" i="2"/>
</calcChain>
</file>

<file path=xl/sharedStrings.xml><?xml version="1.0" encoding="utf-8"?>
<sst xmlns="http://schemas.openxmlformats.org/spreadsheetml/2006/main" count="134" uniqueCount="75">
  <si>
    <t>Pohlaví</t>
  </si>
  <si>
    <t>Věk</t>
  </si>
  <si>
    <t>Nejvyšší dosažené vzdělání</t>
  </si>
  <si>
    <t xml:space="preserve">Jaký typ diabetu Vám byl diagnostikován? </t>
  </si>
  <si>
    <t>Jaký byl Váš poslední glykovaný hemoglobin</t>
  </si>
  <si>
    <t xml:space="preserve">Léčba diabetu </t>
  </si>
  <si>
    <t>Použití počítače</t>
  </si>
  <si>
    <t>Použití chytrého telefonu (Smarthphone)</t>
  </si>
  <si>
    <t>Jak dlouho aplikaci Diani používáte</t>
  </si>
  <si>
    <t>Jak často aplikaci Diani navštěvujete</t>
  </si>
  <si>
    <t>Aplikaci Diani využívám</t>
  </si>
  <si>
    <t>glykémie z glukometru</t>
  </si>
  <si>
    <t>glykémie z kontinuálního monitoru</t>
  </si>
  <si>
    <t>insulinové dávky</t>
  </si>
  <si>
    <t>sacharidové dávky</t>
  </si>
  <si>
    <t>fyzická aktivita dávky</t>
  </si>
  <si>
    <t>Naměřená data sleduji zejména pomocí</t>
  </si>
  <si>
    <t>Aplikaci Diani nepoužívám často, protože</t>
  </si>
  <si>
    <t>Co se vám na aplikaci Diani líbí</t>
  </si>
  <si>
    <t>Co by jste na aplikaci zlepšili</t>
  </si>
  <si>
    <t>Návrhy na zlepšení</t>
  </si>
  <si>
    <t>Muž</t>
  </si>
  <si>
    <t>50-69</t>
  </si>
  <si>
    <t>Vysokoškolské – doktorský studijní program a vyšší</t>
  </si>
  <si>
    <t>Typ 2</t>
  </si>
  <si>
    <t>Orální medikace (tablety, pilulky)</t>
  </si>
  <si>
    <t>Pokročilejší užívání než v předchozích případech</t>
  </si>
  <si>
    <t>Využívám aplikace a další funkce telefonu včetně využití internetu</t>
  </si>
  <si>
    <t>3 měsíce</t>
  </si>
  <si>
    <t>3x a vícekrát týdně</t>
  </si>
  <si>
    <t>Ke sledování souvislostí mezi naměřenými daty, K statistickému vyhodnocení naměřených dat</t>
  </si>
  <si>
    <t>Diani</t>
  </si>
  <si>
    <t>Zpracování grafů, Možnost propojit a zobrazit data z více zařízení</t>
  </si>
  <si>
    <t>Infografiku (grafy, tabulky), pri zobrazeni "DEN" neni videt cela perioda spanku</t>
  </si>
  <si>
    <t>18-29</t>
  </si>
  <si>
    <t>Vysokoškolské – magisterský studijní program</t>
  </si>
  <si>
    <t>Typ 1</t>
  </si>
  <si>
    <t>Aplikace inzulínu využitím kontinuální pumpy</t>
  </si>
  <si>
    <t>Využívám aplikace a další funkce telefonu bez využití internetu</t>
  </si>
  <si>
    <t>&gt;3mesice</t>
  </si>
  <si>
    <t>1x měsíčně</t>
  </si>
  <si>
    <t>Ke sledování souvislostí mezi naměřenými daty, K tisku diabetického deníku, Ke přípravě na kontrolu u lékaře</t>
  </si>
  <si>
    <t>Zobrazuje skoro to samé co DD na chytrém telefonu. Koukám se cca 1/měsíc, plus když je senzor</t>
  </si>
  <si>
    <t>Diabetický deník, Možnost propojit a zobrazit data z více zařízení</t>
  </si>
  <si>
    <t>Strukturu aplikace (jiné designové uspořádání), Infografiku (grafy, tabulky), Optimalizaci designu pro mobilní zařízení</t>
  </si>
  <si>
    <t>Žena</t>
  </si>
  <si>
    <t>Vysokoškolské – bakalářský studijní program</t>
  </si>
  <si>
    <t>2 roky?</t>
  </si>
  <si>
    <t>čistě z pohledu diabetika a stavu webu bych možná dala 1x měsíčně, ale je to bohužel zavádějící, prootže s tím prcuju denně, ale ne vždy jako uživatel diabetik</t>
  </si>
  <si>
    <t>Ke sledování souvislostí mezi naměřenými daty, K statistickému vyhodnocení naměřených dat, K tisku diabetického deníku, Ke přípravě na kontrolu u lékaře</t>
  </si>
  <si>
    <t>Diabetický deník, Exporty dat, Možnost propojit a zobrazit data z více zařízení</t>
  </si>
  <si>
    <t>Strukturu aplikace (jiné designové uspořádání), Infografiku (grafy, tabulky), Optimalizaci designu pro mobilní zařízení, velmi časově náročné je překlikávání na konkrétní den, zaměřila bych se do budoucna na možnost zadat od-do nebo konkrétní den pro rychlejší orientaci</t>
  </si>
  <si>
    <t>viz předchozí bod</t>
  </si>
  <si>
    <t>Střední (s maturitou)</t>
  </si>
  <si>
    <t>8-9 měsíců</t>
  </si>
  <si>
    <t>K tisku diabetického deníku, Ke přípravě na kontrolu u lékaře</t>
  </si>
  <si>
    <t>zobrazuje to samé co aplikace DiabetesDagboka na chytrém telefonu (Smartphone)., nemám potřebu analyzovat data.</t>
  </si>
  <si>
    <t>Přehledné tabulky, Exporty dat</t>
  </si>
  <si>
    <t>Strukturu aplikace (jiné designové uspořádání), Infografiku (grafy, tabulky)</t>
  </si>
  <si>
    <t xml:space="preserve">-Uvítal bych "spojení" tabulek glykémie a ostatních aktivit (kroky,sacharidy,inzulín,...) do jedné tabulky (grafu), kdy by šly jednotlivé hodnoty filtrovat. např hodnoty inzulínu a jejich vliv na glykémie by byly graficky  jasné a přehledné. teď je nutné obě tabulky "porovnávat". tahle úprava by pro mě osobně byla "lákadlem" pro větší používání webové aplikace, protože tohle dagboka neumí 
-v přehledech grafů bych uvítal možnost zadat zobrazení konkrétního dne, tedy možnost zadat datum a/nebo možnost zobrazit kalendář 
- možná i trochu hezčí grafika stránek... 
 - jinak ale perfektní práce :-)  </t>
  </si>
  <si>
    <t>Vyšší odborné</t>
  </si>
  <si>
    <t>měsíc</t>
  </si>
  <si>
    <t>data z Diani se mi špatně zobrazují.</t>
  </si>
  <si>
    <t>Zpracování grafů, Přehledné tabulky, Diabetický deník, Exporty dat, Možnost propojit a zobrazit data z více zařízení</t>
  </si>
  <si>
    <t>Optimalizaci designu pro mobilní zařízení</t>
  </si>
  <si>
    <t>Pořadové číslo respondenta</t>
  </si>
  <si>
    <t>Číslo res.</t>
  </si>
  <si>
    <t>cca. 2 roky</t>
  </si>
  <si>
    <t>1 měsíc</t>
  </si>
  <si>
    <t>&gt;3měsíce</t>
  </si>
  <si>
    <t>hloubka spánku</t>
  </si>
  <si>
    <t>chytrý telefon (Smartphone)</t>
  </si>
  <si>
    <t>prum</t>
  </si>
  <si>
    <t>vyb prum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</si>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</sst>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pane ySplit="1" topLeftCell="A2" activePane="bottomLeft" state="frozen"/>
      <selection pane="bottomLeft" activeCell="I4" sqref="I4"/>
    </sheetView>
  </sheetViews>
  <sheetFormatPr defaultColWidth="14.42578125" defaultRowHeight="15.75" customHeight="1" x14ac:dyDescent="0.2"/>
  <cols>
    <col min="1" max="1" width="21.5703125" customWidth="1"/>
    <col min="2" max="2" width="6.85546875" bestFit="1" customWidth="1"/>
    <col min="3" max="3" width="5.5703125" bestFit="1" customWidth="1"/>
    <col min="4" max="23" width="21.5703125" customWidth="1"/>
  </cols>
  <sheetData>
    <row r="1" spans="1:23" ht="15.75" customHeight="1" x14ac:dyDescent="0.2">
      <c r="A1" t="s">
        <v>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70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ht="15.75" customHeight="1" x14ac:dyDescent="0.2">
      <c r="A2" s="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>
        <v>55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>
        <v>5</v>
      </c>
      <c r="N2" s="1">
        <v>1</v>
      </c>
      <c r="O2" s="1">
        <v>1</v>
      </c>
      <c r="P2" s="1">
        <v>3</v>
      </c>
      <c r="Q2" s="1">
        <v>3</v>
      </c>
      <c r="R2" s="1">
        <v>3</v>
      </c>
      <c r="S2" s="1" t="s">
        <v>31</v>
      </c>
      <c r="U2" s="1" t="s">
        <v>32</v>
      </c>
      <c r="V2" s="1" t="s">
        <v>33</v>
      </c>
    </row>
    <row r="3" spans="1:23" ht="15.75" customHeight="1" x14ac:dyDescent="0.2">
      <c r="A3" s="2">
        <v>2</v>
      </c>
      <c r="B3" s="1" t="s">
        <v>21</v>
      </c>
      <c r="C3" s="1" t="s">
        <v>34</v>
      </c>
      <c r="D3" s="1" t="s">
        <v>35</v>
      </c>
      <c r="E3" s="1" t="s">
        <v>36</v>
      </c>
      <c r="F3" s="1">
        <v>41</v>
      </c>
      <c r="G3" s="1" t="s">
        <v>37</v>
      </c>
      <c r="H3" s="1" t="s">
        <v>26</v>
      </c>
      <c r="I3" s="1" t="s">
        <v>38</v>
      </c>
      <c r="J3" s="1" t="s">
        <v>39</v>
      </c>
      <c r="K3" s="1" t="s">
        <v>40</v>
      </c>
      <c r="L3" s="1" t="s">
        <v>41</v>
      </c>
      <c r="M3" s="1">
        <v>4</v>
      </c>
      <c r="N3" s="1">
        <v>5</v>
      </c>
      <c r="O3" s="1">
        <v>3</v>
      </c>
      <c r="P3" s="1">
        <v>3</v>
      </c>
      <c r="Q3" s="1">
        <v>3</v>
      </c>
      <c r="R3" s="1">
        <v>2</v>
      </c>
      <c r="S3" s="1" t="s">
        <v>71</v>
      </c>
      <c r="T3" s="1" t="s">
        <v>42</v>
      </c>
      <c r="U3" s="1" t="s">
        <v>43</v>
      </c>
      <c r="V3" s="1" t="s">
        <v>44</v>
      </c>
    </row>
    <row r="4" spans="1:23" ht="15.75" customHeight="1" x14ac:dyDescent="0.2">
      <c r="A4" s="2">
        <v>3</v>
      </c>
      <c r="B4" s="1" t="s">
        <v>45</v>
      </c>
      <c r="C4" s="1" t="s">
        <v>34</v>
      </c>
      <c r="D4" s="1" t="s">
        <v>46</v>
      </c>
      <c r="E4" s="1" t="s">
        <v>36</v>
      </c>
      <c r="F4" s="1">
        <v>65</v>
      </c>
      <c r="G4" s="1" t="s">
        <v>37</v>
      </c>
      <c r="H4" s="1" t="s">
        <v>26</v>
      </c>
      <c r="I4" s="1" t="s">
        <v>27</v>
      </c>
      <c r="J4" s="1" t="s">
        <v>47</v>
      </c>
      <c r="K4" s="1" t="s">
        <v>48</v>
      </c>
      <c r="L4" s="1" t="s">
        <v>49</v>
      </c>
      <c r="M4" s="1">
        <v>5</v>
      </c>
      <c r="N4" s="1">
        <v>5</v>
      </c>
      <c r="O4" s="1">
        <v>2</v>
      </c>
      <c r="P4" s="1">
        <v>2</v>
      </c>
      <c r="Q4" s="1">
        <v>4</v>
      </c>
      <c r="R4" s="1">
        <v>2</v>
      </c>
      <c r="S4" s="1" t="s">
        <v>31</v>
      </c>
      <c r="U4" s="1" t="s">
        <v>50</v>
      </c>
      <c r="V4" s="1" t="s">
        <v>51</v>
      </c>
      <c r="W4" s="1" t="s">
        <v>52</v>
      </c>
    </row>
    <row r="5" spans="1:23" ht="15.75" customHeight="1" x14ac:dyDescent="0.2">
      <c r="A5" s="2">
        <v>4</v>
      </c>
      <c r="B5" s="1" t="s">
        <v>21</v>
      </c>
      <c r="C5" s="1" t="s">
        <v>34</v>
      </c>
      <c r="D5" s="1" t="s">
        <v>53</v>
      </c>
      <c r="E5" s="1" t="s">
        <v>36</v>
      </c>
      <c r="F5" s="1">
        <v>58</v>
      </c>
      <c r="G5" s="1" t="s">
        <v>37</v>
      </c>
      <c r="H5" s="1" t="s">
        <v>26</v>
      </c>
      <c r="I5" s="1" t="s">
        <v>27</v>
      </c>
      <c r="J5" s="1" t="s">
        <v>54</v>
      </c>
      <c r="K5" s="1" t="s">
        <v>40</v>
      </c>
      <c r="L5" s="1" t="s">
        <v>55</v>
      </c>
      <c r="M5" s="1">
        <v>3</v>
      </c>
      <c r="N5" s="1">
        <v>2</v>
      </c>
      <c r="O5" s="1">
        <v>2</v>
      </c>
      <c r="P5" s="1">
        <v>3</v>
      </c>
      <c r="Q5" s="1">
        <v>3</v>
      </c>
      <c r="R5" s="1">
        <v>1</v>
      </c>
      <c r="S5" s="1" t="s">
        <v>71</v>
      </c>
      <c r="T5" s="1" t="s">
        <v>56</v>
      </c>
      <c r="U5" s="1" t="s">
        <v>57</v>
      </c>
      <c r="V5" s="1" t="s">
        <v>58</v>
      </c>
      <c r="W5" s="1" t="s">
        <v>59</v>
      </c>
    </row>
    <row r="6" spans="1:23" ht="15.75" customHeight="1" x14ac:dyDescent="0.2">
      <c r="A6" s="2">
        <v>5</v>
      </c>
      <c r="B6" s="1" t="s">
        <v>45</v>
      </c>
      <c r="C6" s="1" t="s">
        <v>34</v>
      </c>
      <c r="D6" s="1" t="s">
        <v>60</v>
      </c>
      <c r="E6" s="1" t="s">
        <v>36</v>
      </c>
      <c r="F6" s="1">
        <v>65</v>
      </c>
      <c r="G6" s="1" t="s">
        <v>37</v>
      </c>
      <c r="H6" s="1" t="s">
        <v>26</v>
      </c>
      <c r="I6" s="1" t="s">
        <v>27</v>
      </c>
      <c r="J6" s="1" t="s">
        <v>61</v>
      </c>
      <c r="K6" s="1" t="s">
        <v>29</v>
      </c>
      <c r="L6" s="1" t="s">
        <v>30</v>
      </c>
      <c r="M6" s="1">
        <v>5</v>
      </c>
      <c r="N6" s="1">
        <v>4</v>
      </c>
      <c r="O6" s="1">
        <v>4</v>
      </c>
      <c r="P6" s="1">
        <v>4</v>
      </c>
      <c r="Q6" s="1">
        <v>3</v>
      </c>
      <c r="R6" s="1">
        <v>3</v>
      </c>
      <c r="S6" s="1" t="s">
        <v>71</v>
      </c>
      <c r="T6" s="1" t="s">
        <v>62</v>
      </c>
      <c r="U6" s="1" t="s">
        <v>63</v>
      </c>
      <c r="V6" s="1" t="s">
        <v>64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H8" sqref="H8:M8"/>
    </sheetView>
  </sheetViews>
  <sheetFormatPr defaultRowHeight="12.75" x14ac:dyDescent="0.2"/>
  <cols>
    <col min="1" max="1" width="9.28515625" customWidth="1"/>
    <col min="4" max="4" width="14.140625" customWidth="1"/>
    <col min="5" max="5" width="15.7109375" customWidth="1"/>
    <col min="6" max="6" width="16.85546875" bestFit="1" customWidth="1"/>
    <col min="7" max="7" width="10" customWidth="1"/>
    <col min="8" max="8" width="19.28515625" customWidth="1"/>
    <col min="9" max="9" width="11.85546875" customWidth="1"/>
    <col min="10" max="10" width="11.28515625" customWidth="1"/>
    <col min="11" max="11" width="10.5703125" customWidth="1"/>
    <col min="12" max="12" width="11.28515625" customWidth="1"/>
  </cols>
  <sheetData>
    <row r="1" spans="1:13" s="3" customFormat="1" ht="63.75" x14ac:dyDescent="0.2">
      <c r="A1" s="3" t="s">
        <v>66</v>
      </c>
      <c r="B1" s="3" t="s">
        <v>0</v>
      </c>
      <c r="C1" s="3" t="s">
        <v>1</v>
      </c>
      <c r="D1" s="3" t="s">
        <v>3</v>
      </c>
      <c r="E1" s="3" t="s">
        <v>5</v>
      </c>
      <c r="F1" s="3" t="s">
        <v>8</v>
      </c>
      <c r="G1" s="3" t="s">
        <v>66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70</v>
      </c>
    </row>
    <row r="2" spans="1:13" ht="25.5" x14ac:dyDescent="0.2">
      <c r="A2" s="2">
        <v>1</v>
      </c>
      <c r="B2" s="1" t="s">
        <v>21</v>
      </c>
      <c r="C2" s="1" t="s">
        <v>22</v>
      </c>
      <c r="D2" s="1" t="s">
        <v>24</v>
      </c>
      <c r="E2" s="4" t="s">
        <v>25</v>
      </c>
      <c r="F2" s="1" t="s">
        <v>28</v>
      </c>
      <c r="G2" s="2">
        <v>1</v>
      </c>
      <c r="H2" s="1">
        <v>5</v>
      </c>
      <c r="I2" s="1">
        <v>1</v>
      </c>
      <c r="J2" s="1">
        <v>1</v>
      </c>
      <c r="K2" s="1">
        <v>3</v>
      </c>
      <c r="L2" s="1">
        <v>3</v>
      </c>
      <c r="M2" s="1">
        <v>3</v>
      </c>
    </row>
    <row r="3" spans="1:13" ht="51" x14ac:dyDescent="0.2">
      <c r="A3" s="2">
        <v>2</v>
      </c>
      <c r="B3" s="1" t="s">
        <v>21</v>
      </c>
      <c r="C3" s="1" t="s">
        <v>34</v>
      </c>
      <c r="D3" s="1" t="s">
        <v>36</v>
      </c>
      <c r="E3" s="4" t="s">
        <v>37</v>
      </c>
      <c r="F3" s="1" t="s">
        <v>69</v>
      </c>
      <c r="G3" s="2">
        <v>2</v>
      </c>
      <c r="H3" s="1">
        <v>4</v>
      </c>
      <c r="I3" s="1">
        <v>5</v>
      </c>
      <c r="J3" s="1">
        <v>3</v>
      </c>
      <c r="K3" s="1">
        <v>3</v>
      </c>
      <c r="L3" s="1">
        <v>3</v>
      </c>
      <c r="M3" s="1">
        <v>2</v>
      </c>
    </row>
    <row r="4" spans="1:13" ht="51" x14ac:dyDescent="0.2">
      <c r="A4" s="2">
        <v>3</v>
      </c>
      <c r="B4" s="1" t="s">
        <v>45</v>
      </c>
      <c r="C4" s="1" t="s">
        <v>34</v>
      </c>
      <c r="D4" s="1" t="s">
        <v>36</v>
      </c>
      <c r="E4" s="4" t="s">
        <v>37</v>
      </c>
      <c r="F4" s="1" t="s">
        <v>67</v>
      </c>
      <c r="G4" s="2">
        <v>3</v>
      </c>
      <c r="H4" s="1">
        <v>5</v>
      </c>
      <c r="I4" s="1">
        <v>5</v>
      </c>
      <c r="J4" s="1">
        <v>2</v>
      </c>
      <c r="K4" s="1">
        <v>2</v>
      </c>
      <c r="L4" s="1">
        <v>4</v>
      </c>
      <c r="M4" s="1">
        <v>2</v>
      </c>
    </row>
    <row r="5" spans="1:13" ht="51" x14ac:dyDescent="0.2">
      <c r="A5" s="2">
        <v>4</v>
      </c>
      <c r="B5" s="1" t="s">
        <v>21</v>
      </c>
      <c r="C5" s="1" t="s">
        <v>34</v>
      </c>
      <c r="D5" s="1" t="s">
        <v>36</v>
      </c>
      <c r="E5" s="4" t="s">
        <v>37</v>
      </c>
      <c r="F5" s="1" t="s">
        <v>54</v>
      </c>
      <c r="G5" s="2">
        <v>4</v>
      </c>
      <c r="H5" s="1">
        <v>3</v>
      </c>
      <c r="I5" s="1">
        <v>2</v>
      </c>
      <c r="J5" s="1">
        <v>2</v>
      </c>
      <c r="K5" s="1">
        <v>3</v>
      </c>
      <c r="L5" s="1">
        <v>3</v>
      </c>
      <c r="M5" s="1">
        <v>1</v>
      </c>
    </row>
    <row r="6" spans="1:13" ht="51" x14ac:dyDescent="0.2">
      <c r="A6" s="2">
        <v>5</v>
      </c>
      <c r="B6" s="1" t="s">
        <v>45</v>
      </c>
      <c r="C6" s="1" t="s">
        <v>34</v>
      </c>
      <c r="D6" s="1" t="s">
        <v>36</v>
      </c>
      <c r="E6" s="4" t="s">
        <v>37</v>
      </c>
      <c r="F6" s="1" t="s">
        <v>68</v>
      </c>
      <c r="G6" s="2">
        <v>5</v>
      </c>
      <c r="H6" s="1">
        <v>5</v>
      </c>
      <c r="I6" s="1">
        <v>4</v>
      </c>
      <c r="J6" s="1">
        <v>4</v>
      </c>
      <c r="K6" s="1">
        <v>4</v>
      </c>
      <c r="L6" s="1">
        <v>3</v>
      </c>
      <c r="M6" s="1">
        <v>3</v>
      </c>
    </row>
    <row r="7" spans="1:13" x14ac:dyDescent="0.2">
      <c r="G7" t="s">
        <v>72</v>
      </c>
      <c r="H7">
        <f>AVERAGE(H2:H6)</f>
        <v>4.4000000000000004</v>
      </c>
      <c r="I7">
        <f t="shared" ref="I7:M7" si="0">AVERAGE(I2:I6)</f>
        <v>3.4</v>
      </c>
      <c r="J7">
        <f t="shared" si="0"/>
        <v>2.4</v>
      </c>
      <c r="K7">
        <f t="shared" si="0"/>
        <v>3</v>
      </c>
      <c r="L7">
        <f t="shared" si="0"/>
        <v>3.2</v>
      </c>
      <c r="M7">
        <f t="shared" si="0"/>
        <v>2.2000000000000002</v>
      </c>
    </row>
    <row r="8" spans="1:13" x14ac:dyDescent="0.2">
      <c r="G8" t="s">
        <v>74</v>
      </c>
      <c r="H8">
        <f>_xlfn.VAR.S(H2:H6)</f>
        <v>0.80000000000000071</v>
      </c>
      <c r="I8">
        <f t="shared" ref="I8:M8" si="1">_xlfn.VAR.S(I2:I6)</f>
        <v>3.3000000000000007</v>
      </c>
      <c r="J8">
        <f t="shared" si="1"/>
        <v>1.2999999999999998</v>
      </c>
      <c r="K8">
        <f t="shared" si="1"/>
        <v>0.5</v>
      </c>
      <c r="L8">
        <f t="shared" si="1"/>
        <v>0.19999999999999929</v>
      </c>
      <c r="M8">
        <f t="shared" si="1"/>
        <v>0.70000000000000018</v>
      </c>
    </row>
    <row r="10" spans="1:13" x14ac:dyDescent="0.2">
      <c r="G10" t="s">
        <v>73</v>
      </c>
      <c r="H10">
        <f>AVERAGE(H3:H5)</f>
        <v>4</v>
      </c>
      <c r="I10">
        <f>AVERAGE(I3:I5)</f>
        <v>4</v>
      </c>
      <c r="J10">
        <f>AVERAGE(J3:J5)</f>
        <v>2.3333333333333335</v>
      </c>
      <c r="K10">
        <f>AVERAGE(K3:K5)</f>
        <v>2.6666666666666665</v>
      </c>
      <c r="L10">
        <f>AVERAGE(L3:L5)</f>
        <v>3.3333333333333335</v>
      </c>
      <c r="M10">
        <f>AVERAGE(M3:M5)</f>
        <v>1.6666666666666667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Odpovědi formuláře 1</vt:lpstr>
      <vt:lpstr>Vybrané otázky na parametry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Milan Poláček</cp:lastModifiedBy>
  <dcterms:modified xsi:type="dcterms:W3CDTF">2016-05-22T15:34:37Z</dcterms:modified>
</cp:coreProperties>
</file>